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D:\working\waccache\AM4PEPF0005E9F7\EXCELCNV\65cd9a54-1f07-42af-9fe1-075ccc66c709\"/>
    </mc:Choice>
  </mc:AlternateContent>
  <xr:revisionPtr revIDLastSave="0" documentId="8_{B155D74B-4932-48F7-95C8-7371F79D350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Зарплата" sheetId="1" r:id="rId1"/>
  </sheets>
  <definedNames>
    <definedName name="_xlnm.Print_Titles" localSheetId="0">Зарплата!$1:$12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F4" i="1"/>
  <c r="F5" i="1" s="1"/>
  <c r="F6" i="1" s="1"/>
  <c r="F3" i="1"/>
  <c r="AF10" i="1" l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B28" i="1"/>
  <c r="B29" i="1"/>
  <c r="B30" i="1"/>
  <c r="B31" i="1" l="1"/>
  <c r="B32" i="1"/>
  <c r="B23" i="1" s="1"/>
  <c r="B17" i="1"/>
  <c r="B11" i="1"/>
  <c r="B12" i="1" s="1"/>
  <c r="C17" i="1"/>
  <c r="C11" i="1"/>
  <c r="C12" i="1" s="1"/>
  <c r="D17" i="1"/>
  <c r="D11" i="1"/>
  <c r="D12" i="1" s="1"/>
  <c r="E17" i="1"/>
  <c r="E11" i="1"/>
  <c r="E12" i="1" s="1"/>
  <c r="F17" i="1"/>
  <c r="F11" i="1"/>
  <c r="F12" i="1" s="1"/>
  <c r="G17" i="1"/>
  <c r="G11" i="1"/>
  <c r="G12" i="1" s="1"/>
  <c r="H17" i="1"/>
  <c r="H11" i="1"/>
  <c r="H12" i="1" s="1"/>
  <c r="I17" i="1"/>
  <c r="I11" i="1"/>
  <c r="I12" i="1" s="1"/>
  <c r="J17" i="1"/>
  <c r="J11" i="1"/>
  <c r="J12" i="1" s="1"/>
  <c r="K17" i="1"/>
  <c r="K11" i="1"/>
  <c r="K12" i="1" s="1"/>
  <c r="L17" i="1"/>
  <c r="L11" i="1"/>
  <c r="L12" i="1" s="1"/>
  <c r="M17" i="1"/>
  <c r="M11" i="1"/>
  <c r="M12" i="1" s="1"/>
  <c r="N17" i="1"/>
  <c r="N11" i="1"/>
  <c r="N12" i="1" s="1"/>
  <c r="O17" i="1"/>
  <c r="O11" i="1"/>
  <c r="O12" i="1" s="1"/>
  <c r="P17" i="1"/>
  <c r="P11" i="1"/>
  <c r="P12" i="1" s="1"/>
  <c r="Q17" i="1"/>
  <c r="Q11" i="1"/>
  <c r="Q12" i="1" s="1"/>
  <c r="R17" i="1"/>
  <c r="R11" i="1"/>
  <c r="R12" i="1" s="1"/>
  <c r="S17" i="1"/>
  <c r="S11" i="1"/>
  <c r="S12" i="1" s="1"/>
  <c r="T17" i="1"/>
  <c r="T11" i="1"/>
  <c r="T12" i="1" s="1"/>
  <c r="U17" i="1"/>
  <c r="U11" i="1"/>
  <c r="U12" i="1" s="1"/>
  <c r="V17" i="1"/>
  <c r="V11" i="1"/>
  <c r="V12" i="1" s="1"/>
  <c r="W17" i="1"/>
  <c r="W11" i="1"/>
  <c r="W12" i="1" s="1"/>
  <c r="X17" i="1"/>
  <c r="X11" i="1"/>
  <c r="X12" i="1" s="1"/>
  <c r="Y17" i="1"/>
  <c r="Y11" i="1"/>
  <c r="Y12" i="1" s="1"/>
  <c r="Z17" i="1"/>
  <c r="Z11" i="1"/>
  <c r="Z12" i="1" s="1"/>
  <c r="AA17" i="1"/>
  <c r="AA11" i="1"/>
  <c r="AA12" i="1" s="1"/>
  <c r="AB17" i="1"/>
  <c r="AB11" i="1"/>
  <c r="AB12" i="1" s="1"/>
  <c r="AC17" i="1"/>
  <c r="AC11" i="1"/>
  <c r="AC12" i="1" s="1"/>
  <c r="AD17" i="1"/>
  <c r="AD11" i="1"/>
  <c r="AD12" i="1" s="1"/>
  <c r="AE17" i="1"/>
  <c r="AE11" i="1"/>
  <c r="AE12" i="1" s="1"/>
  <c r="AF17" i="1"/>
  <c r="AF11" i="1"/>
  <c r="AF12" i="1" s="1"/>
</calcChain>
</file>

<file path=xl/sharedStrings.xml><?xml version="1.0" encoding="utf-8"?>
<sst xmlns="http://schemas.openxmlformats.org/spreadsheetml/2006/main" count="75" uniqueCount="43">
  <si>
    <t>РАСЧЁТ ЗАРАБОТНОЙ ПЛАТЫ</t>
  </si>
  <si>
    <t>Месяц</t>
  </si>
  <si>
    <t>Октябрь</t>
  </si>
  <si>
    <t>Дней в месяце</t>
  </si>
  <si>
    <t>Год</t>
  </si>
  <si>
    <t>Рабочих дней (Пн–Пт)</t>
  </si>
  <si>
    <t>Оклад, ₽</t>
  </si>
  <si>
    <t>Норма часов</t>
  </si>
  <si>
    <t>Рабочий день</t>
  </si>
  <si>
    <t>10:00–19:00</t>
  </si>
  <si>
    <t>Часовая ставка</t>
  </si>
  <si>
    <t>Обед</t>
  </si>
  <si>
    <t>час</t>
  </si>
  <si>
    <t>Оплачиваемый рабочий день</t>
  </si>
  <si>
    <t>часов</t>
  </si>
  <si>
    <t>Показатель</t>
  </si>
  <si>
    <t>Обычные часы</t>
  </si>
  <si>
    <t>Переработка 1,5×</t>
  </si>
  <si>
    <t>Переработка 2×</t>
  </si>
  <si>
    <t>Роспись / подтверждение</t>
  </si>
  <si>
    <t>☑</t>
  </si>
  <si>
    <t>☐</t>
  </si>
  <si>
    <t>Заработано за день, ₽</t>
  </si>
  <si>
    <t>ИТОГО</t>
  </si>
  <si>
    <t>Как пользоваться</t>
  </si>
  <si>
    <t>1. Выбери месяц в B3 и год в B4.</t>
  </si>
  <si>
    <t>2. В обычные часы ставь отработанные часы (обычный день — 8 часов).</t>
  </si>
  <si>
    <t>3. Укажи переработку 1,5× и/или 2×.</t>
  </si>
  <si>
    <t>Всего заработано</t>
  </si>
  <si>
    <t>4. ☑ подтверждает переработку: ячейка зелёная и часы оплачиваются.</t>
  </si>
  <si>
    <t>5. ☐ — переработка не подтверждена: ячейка красная и часы не оплачиваются.</t>
  </si>
  <si>
    <t>6. Неиспользуемые даты автоматически становятся пустыми/серыми.</t>
  </si>
  <si>
    <t>Примечание: Excel хранит 31 возможную дату, но после выбора месяца лишние даты автоматически становятся пустыми и не участвуют в расчётах.</t>
  </si>
  <si>
    <t>РАСШИФРОВКА ЗАРПЛАТЫ</t>
  </si>
  <si>
    <t>РАСЧЁТ ПЕРЕРАБОТКИ</t>
  </si>
  <si>
    <t>Оплата обычных часов</t>
  </si>
  <si>
    <t>1,5× = часы переработки × часовая ставка × 1,5</t>
  </si>
  <si>
    <t>Деньги за переработку 1,5×</t>
  </si>
  <si>
    <t>2× = часы переработки × часовая ставка × 2</t>
  </si>
  <si>
    <t>Деньги за переработку 2×</t>
  </si>
  <si>
    <t>☑ подтверждение обязательно: только подтверждённая переработка оплачивается.</t>
  </si>
  <si>
    <t>ВСЕГО за переработку</t>
  </si>
  <si>
    <t>ВСЕГО ЗАРАБОТАНО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</si>
</sst>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₽&quot;"/>
    <numFmt numFmtId="165" formatCode="#,##0.00\ &quot;₽&quot;"/>
    <numFmt numFmtId="166" formatCode="dd\.mm"/>
  </numFmts>
  <fonts count="6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2"/>
      <name val="Calibri"/>
    </font>
    <font>
      <sz val="11"/>
      <name val="Calibri"/>
    </font>
    <font>
      <i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B4C7E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1" xfId="0" applyBorder="1"/>
    <xf numFmtId="0" fontId="2" fillId="3" borderId="1" xfId="0" applyFont="1" applyFill="1" applyBorder="1"/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0" borderId="1" xfId="0" applyFont="1" applyBorder="1"/>
    <xf numFmtId="165" fontId="2" fillId="3" borderId="1" xfId="0" applyNumberFormat="1" applyFont="1" applyFill="1" applyBorder="1"/>
    <xf numFmtId="0" fontId="3" fillId="0" borderId="0" xfId="0" applyFont="1"/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horizontal="right"/>
    </xf>
    <xf numFmtId="0" fontId="0" fillId="0" borderId="0" xfId="0"/>
    <xf numFmtId="0" fontId="0" fillId="0" borderId="0" xfId="0" applyAlignment="1"/>
    <xf numFmtId="0" fontId="5" fillId="0" borderId="0" xfId="0" applyFont="1" applyAlignment="1">
      <alignment wrapText="1"/>
    </xf>
    <xf numFmtId="0" fontId="1" fillId="0" borderId="0" xfId="0" applyFont="1" applyAlignment="1"/>
  </cellXfs>
  <cellStyles count="1">
    <cellStyle name="Обычный" xfId="0" builtinId="0"/>
  </cellStyles>
  <dxfs count="35"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9"/>
  <sheetViews>
    <sheetView tabSelected="1" workbookViewId="0">
      <pane xSplit="1" ySplit="12" topLeftCell="B13" activePane="bottomRight" state="frozen"/>
      <selection pane="bottomRight" activeCell="H14" sqref="H14"/>
      <selection pane="bottomLeft"/>
      <selection pane="topRight"/>
    </sheetView>
  </sheetViews>
  <sheetFormatPr defaultRowHeight="15"/>
  <cols>
    <col min="1" max="1" width="25" customWidth="1"/>
    <col min="2" max="2" width="13" customWidth="1"/>
    <col min="3" max="32" width="11" customWidth="1"/>
  </cols>
  <sheetData>
    <row r="1" spans="1:32" ht="21">
      <c r="A1" s="23" t="s">
        <v>0</v>
      </c>
      <c r="B1" s="21"/>
      <c r="C1" s="21"/>
      <c r="D1" s="21"/>
      <c r="E1" s="21"/>
      <c r="F1" s="21"/>
      <c r="G1" s="21"/>
      <c r="H1" s="21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3" spans="1:32">
      <c r="A3" s="4" t="s">
        <v>1</v>
      </c>
      <c r="B3" s="2" t="s">
        <v>2</v>
      </c>
      <c r="C3" s="20"/>
      <c r="D3" s="20"/>
      <c r="E3" s="4" t="s">
        <v>3</v>
      </c>
      <c r="F3" s="2">
        <f>DAY(EOMONTH(DATE(B4,MATCH(B3,{"Январь","Февраль","Март","Апрель","Май","Июнь","Июль","Август","Сентябрь","Октябрь","Ноябрь","Декабрь"},0),1),0))</f>
        <v>31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4</v>
      </c>
      <c r="B4" s="2">
        <v>2026</v>
      </c>
      <c r="C4" s="20"/>
      <c r="D4" s="20"/>
      <c r="E4" s="4" t="s">
        <v>5</v>
      </c>
      <c r="F4" s="2">
        <f>NETWORKDAYS(DATE(B4,MATCH(B3,{"Январь","Февраль","Март","Апрель","Май","Июнь","Июль","Август","Сентябрь","Октябрь","Ноябрь","Декабрь"},0),1),EOMONTH(DATE(B4,MATCH(B3,{"Январь","Февраль","Март","Апрель","Май","Июнь","Июль","Август","Сентябрь","Октябрь","Ноябрь","Декабрь"},0),1),0))</f>
        <v>22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2">
      <c r="A5" s="4" t="s">
        <v>6</v>
      </c>
      <c r="B5" s="5">
        <v>130000</v>
      </c>
      <c r="C5" s="20"/>
      <c r="D5" s="20"/>
      <c r="E5" s="4" t="s">
        <v>7</v>
      </c>
      <c r="F5" s="2">
        <f>F4*B8</f>
        <v>176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spans="1:32">
      <c r="A6" s="4" t="s">
        <v>8</v>
      </c>
      <c r="B6" s="2" t="s">
        <v>9</v>
      </c>
      <c r="C6" s="20"/>
      <c r="D6" s="20"/>
      <c r="E6" s="4" t="s">
        <v>10</v>
      </c>
      <c r="F6" s="6">
        <f>B5/F5</f>
        <v>738.63636363636363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2" ht="39.950000000000003" customHeight="1">
      <c r="A7" s="4" t="s">
        <v>11</v>
      </c>
      <c r="B7" s="2">
        <v>1</v>
      </c>
      <c r="C7" s="20" t="s">
        <v>12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spans="1:32">
      <c r="A8" s="4" t="s">
        <v>13</v>
      </c>
      <c r="B8" s="2">
        <v>8</v>
      </c>
      <c r="C8" s="20" t="s">
        <v>14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10" spans="1:32" ht="24" customHeight="1">
      <c r="A10" s="7" t="s">
        <v>15</v>
      </c>
      <c r="B10" s="8">
        <f>IF(1&lt;=$F$3,1,"")</f>
        <v>1</v>
      </c>
      <c r="C10" s="8">
        <f>IF(2&lt;=$F$3,2,"")</f>
        <v>2</v>
      </c>
      <c r="D10" s="8">
        <f>IF(3&lt;=$F$3,3,"")</f>
        <v>3</v>
      </c>
      <c r="E10" s="8">
        <f>IF(4&lt;=$F$3,4,"")</f>
        <v>4</v>
      </c>
      <c r="F10" s="8">
        <f>IF(5&lt;=$F$3,5,"")</f>
        <v>5</v>
      </c>
      <c r="G10" s="8">
        <f>IF(6&lt;=$F$3,6,"")</f>
        <v>6</v>
      </c>
      <c r="H10" s="8">
        <f>IF(7&lt;=$F$3,7,"")</f>
        <v>7</v>
      </c>
      <c r="I10" s="8">
        <f>IF(8&lt;=$F$3,8,"")</f>
        <v>8</v>
      </c>
      <c r="J10" s="8">
        <f>IF(9&lt;=$F$3,9,"")</f>
        <v>9</v>
      </c>
      <c r="K10" s="8">
        <f>IF(10&lt;=$F$3,10,"")</f>
        <v>10</v>
      </c>
      <c r="L10" s="8">
        <f>IF(11&lt;=$F$3,11,"")</f>
        <v>11</v>
      </c>
      <c r="M10" s="8">
        <f>IF(12&lt;=$F$3,12,"")</f>
        <v>12</v>
      </c>
      <c r="N10" s="8">
        <f>IF(13&lt;=$F$3,13,"")</f>
        <v>13</v>
      </c>
      <c r="O10" s="8">
        <f>IF(14&lt;=$F$3,14,"")</f>
        <v>14</v>
      </c>
      <c r="P10" s="8">
        <f>IF(15&lt;=$F$3,15,"")</f>
        <v>15</v>
      </c>
      <c r="Q10" s="8">
        <f>IF(16&lt;=$F$3,16,"")</f>
        <v>16</v>
      </c>
      <c r="R10" s="8">
        <f>IF(17&lt;=$F$3,17,"")</f>
        <v>17</v>
      </c>
      <c r="S10" s="8">
        <f>IF(18&lt;=$F$3,18,"")</f>
        <v>18</v>
      </c>
      <c r="T10" s="8">
        <f>IF(19&lt;=$F$3,19,"")</f>
        <v>19</v>
      </c>
      <c r="U10" s="8">
        <f>IF(20&lt;=$F$3,20,"")</f>
        <v>20</v>
      </c>
      <c r="V10" s="8">
        <f>IF(21&lt;=$F$3,21,"")</f>
        <v>21</v>
      </c>
      <c r="W10" s="8">
        <f>IF(22&lt;=$F$3,22,"")</f>
        <v>22</v>
      </c>
      <c r="X10" s="8">
        <f>IF(23&lt;=$F$3,23,"")</f>
        <v>23</v>
      </c>
      <c r="Y10" s="8">
        <f>IF(24&lt;=$F$3,24,"")</f>
        <v>24</v>
      </c>
      <c r="Z10" s="8">
        <f>IF(25&lt;=$F$3,25,"")</f>
        <v>25</v>
      </c>
      <c r="AA10" s="8">
        <f>IF(26&lt;=$F$3,26,"")</f>
        <v>26</v>
      </c>
      <c r="AB10" s="8">
        <f>IF(27&lt;=$F$3,27,"")</f>
        <v>27</v>
      </c>
      <c r="AC10" s="8">
        <f>IF(28&lt;=$F$3,28,"")</f>
        <v>28</v>
      </c>
      <c r="AD10" s="8">
        <f>IF(29&lt;=$F$3,29,"")</f>
        <v>29</v>
      </c>
      <c r="AE10" s="8">
        <f>IF(30&lt;=$F$3,30,"")</f>
        <v>30</v>
      </c>
      <c r="AF10" s="8">
        <f>IF(31&lt;=$F$3,31,"")</f>
        <v>31</v>
      </c>
    </row>
    <row r="11" spans="1:32" ht="21.95" customHeight="1">
      <c r="A11" s="20"/>
      <c r="B11" s="9">
        <f>IF(B10="","",DATE($B$4,MATCH($B$3,{"Январь","Февраль","Март","Апрель","Май","Июнь","Июль","Август","Сентябрь","Октябрь","Ноябрь","Декабрь"},0),B10))</f>
        <v>46296</v>
      </c>
      <c r="C11" s="9">
        <f>IF(C10="","",DATE($B$4,MATCH($B$3,{"Январь","Февраль","Март","Апрель","Май","Июнь","Июль","Август","Сентябрь","Октябрь","Ноябрь","Декабрь"},0),C10))</f>
        <v>46297</v>
      </c>
      <c r="D11" s="9">
        <f>IF(D10="","",DATE($B$4,MATCH($B$3,{"Январь","Февраль","Март","Апрель","Май","Июнь","Июль","Август","Сентябрь","Октябрь","Ноябрь","Декабрь"},0),D10))</f>
        <v>46298</v>
      </c>
      <c r="E11" s="9">
        <f>IF(E10="","",DATE($B$4,MATCH($B$3,{"Январь","Февраль","Март","Апрель","Май","Июнь","Июль","Август","Сентябрь","Октябрь","Ноябрь","Декабрь"},0),E10))</f>
        <v>46299</v>
      </c>
      <c r="F11" s="9">
        <f>IF(F10="","",DATE($B$4,MATCH($B$3,{"Январь","Февраль","Март","Апрель","Май","Июнь","Июль","Август","Сентябрь","Октябрь","Ноябрь","Декабрь"},0),F10))</f>
        <v>46300</v>
      </c>
      <c r="G11" s="9">
        <f>IF(G10="","",DATE($B$4,MATCH($B$3,{"Январь","Февраль","Март","Апрель","Май","Июнь","Июль","Август","Сентябрь","Октябрь","Ноябрь","Декабрь"},0),G10))</f>
        <v>46301</v>
      </c>
      <c r="H11" s="9">
        <f>IF(H10="","",DATE($B$4,MATCH($B$3,{"Январь","Февраль","Март","Апрель","Май","Июнь","Июль","Август","Сентябрь","Октябрь","Ноябрь","Декабрь"},0),H10))</f>
        <v>46302</v>
      </c>
      <c r="I11" s="9">
        <f>IF(I10="","",DATE($B$4,MATCH($B$3,{"Январь","Февраль","Март","Апрель","Май","Июнь","Июль","Август","Сентябрь","Октябрь","Ноябрь","Декабрь"},0),I10))</f>
        <v>46303</v>
      </c>
      <c r="J11" s="9">
        <f>IF(J10="","",DATE($B$4,MATCH($B$3,{"Январь","Февраль","Март","Апрель","Май","Июнь","Июль","Август","Сентябрь","Октябрь","Ноябрь","Декабрь"},0),J10))</f>
        <v>46304</v>
      </c>
      <c r="K11" s="9">
        <f>IF(K10="","",DATE($B$4,MATCH($B$3,{"Январь","Февраль","Март","Апрель","Май","Июнь","Июль","Август","Сентябрь","Октябрь","Ноябрь","Декабрь"},0),K10))</f>
        <v>46305</v>
      </c>
      <c r="L11" s="9">
        <f>IF(L10="","",DATE($B$4,MATCH($B$3,{"Январь","Февраль","Март","Апрель","Май","Июнь","Июль","Август","Сентябрь","Октябрь","Ноябрь","Декабрь"},0),L10))</f>
        <v>46306</v>
      </c>
      <c r="M11" s="9">
        <f>IF(M10="","",DATE($B$4,MATCH($B$3,{"Январь","Февраль","Март","Апрель","Май","Июнь","Июль","Август","Сентябрь","Октябрь","Ноябрь","Декабрь"},0),M10))</f>
        <v>46307</v>
      </c>
      <c r="N11" s="9">
        <f>IF(N10="","",DATE($B$4,MATCH($B$3,{"Январь","Февраль","Март","Апрель","Май","Июнь","Июль","Август","Сентябрь","Октябрь","Ноябрь","Декабрь"},0),N10))</f>
        <v>46308</v>
      </c>
      <c r="O11" s="9">
        <f>IF(O10="","",DATE($B$4,MATCH($B$3,{"Январь","Февраль","Март","Апрель","Май","Июнь","Июль","Август","Сентябрь","Октябрь","Ноябрь","Декабрь"},0),O10))</f>
        <v>46309</v>
      </c>
      <c r="P11" s="9">
        <f>IF(P10="","",DATE($B$4,MATCH($B$3,{"Январь","Февраль","Март","Апрель","Май","Июнь","Июль","Август","Сентябрь","Октябрь","Ноябрь","Декабрь"},0),P10))</f>
        <v>46310</v>
      </c>
      <c r="Q11" s="9">
        <f>IF(Q10="","",DATE($B$4,MATCH($B$3,{"Январь","Февраль","Март","Апрель","Май","Июнь","Июль","Август","Сентябрь","Октябрь","Ноябрь","Декабрь"},0),Q10))</f>
        <v>46311</v>
      </c>
      <c r="R11" s="9">
        <f>IF(R10="","",DATE($B$4,MATCH($B$3,{"Январь","Февраль","Март","Апрель","Май","Июнь","Июль","Август","Сентябрь","Октябрь","Ноябрь","Декабрь"},0),R10))</f>
        <v>46312</v>
      </c>
      <c r="S11" s="9">
        <f>IF(S10="","",DATE($B$4,MATCH($B$3,{"Январь","Февраль","Март","Апрель","Май","Июнь","Июль","Август","Сентябрь","Октябрь","Ноябрь","Декабрь"},0),S10))</f>
        <v>46313</v>
      </c>
      <c r="T11" s="9">
        <f>IF(T10="","",DATE($B$4,MATCH($B$3,{"Январь","Февраль","Март","Апрель","Май","Июнь","Июль","Август","Сентябрь","Октябрь","Ноябрь","Декабрь"},0),T10))</f>
        <v>46314</v>
      </c>
      <c r="U11" s="9">
        <f>IF(U10="","",DATE($B$4,MATCH($B$3,{"Январь","Февраль","Март","Апрель","Май","Июнь","Июль","Август","Сентябрь","Октябрь","Ноябрь","Декабрь"},0),U10))</f>
        <v>46315</v>
      </c>
      <c r="V11" s="9">
        <f>IF(V10="","",DATE($B$4,MATCH($B$3,{"Январь","Февраль","Март","Апрель","Май","Июнь","Июль","Август","Сентябрь","Октябрь","Ноябрь","Декабрь"},0),V10))</f>
        <v>46316</v>
      </c>
      <c r="W11" s="9">
        <f>IF(W10="","",DATE($B$4,MATCH($B$3,{"Январь","Февраль","Март","Апрель","Май","Июнь","Июль","Август","Сентябрь","Октябрь","Ноябрь","Декабрь"},0),W10))</f>
        <v>46317</v>
      </c>
      <c r="X11" s="9">
        <f>IF(X10="","",DATE($B$4,MATCH($B$3,{"Январь","Февраль","Март","Апрель","Май","Июнь","Июль","Август","Сентябрь","Октябрь","Ноябрь","Декабрь"},0),X10))</f>
        <v>46318</v>
      </c>
      <c r="Y11" s="9">
        <f>IF(Y10="","",DATE($B$4,MATCH($B$3,{"Январь","Февраль","Март","Апрель","Май","Июнь","Июль","Август","Сентябрь","Октябрь","Ноябрь","Декабрь"},0),Y10))</f>
        <v>46319</v>
      </c>
      <c r="Z11" s="9">
        <f>IF(Z10="","",DATE($B$4,MATCH($B$3,{"Январь","Февраль","Март","Апрель","Май","Июнь","Июль","Август","Сентябрь","Октябрь","Ноябрь","Декабрь"},0),Z10))</f>
        <v>46320</v>
      </c>
      <c r="AA11" s="9">
        <f>IF(AA10="","",DATE($B$4,MATCH($B$3,{"Январь","Февраль","Март","Апрель","Май","Июнь","Июль","Август","Сентябрь","Октябрь","Ноябрь","Декабрь"},0),AA10))</f>
        <v>46321</v>
      </c>
      <c r="AB11" s="9">
        <f>IF(AB10="","",DATE($B$4,MATCH($B$3,{"Январь","Февраль","Март","Апрель","Май","Июнь","Июль","Август","Сентябрь","Октябрь","Ноябрь","Декабрь"},0),AB10))</f>
        <v>46322</v>
      </c>
      <c r="AC11" s="9">
        <f>IF(AC10="","",DATE($B$4,MATCH($B$3,{"Январь","Февраль","Март","Апрель","Май","Июнь","Июль","Август","Сентябрь","Октябрь","Ноябрь","Декабрь"},0),AC10))</f>
        <v>46323</v>
      </c>
      <c r="AD11" s="9">
        <f>IF(AD10="","",DATE($B$4,MATCH($B$3,{"Январь","Февраль","Март","Апрель","Май","Июнь","Июль","Август","Сентябрь","Октябрь","Ноябрь","Декабрь"},0),AD10))</f>
        <v>46324</v>
      </c>
      <c r="AE11" s="9">
        <f>IF(AE10="","",DATE($B$4,MATCH($B$3,{"Январь","Февраль","Март","Апрель","Май","Июнь","Июль","Август","Сентябрь","Октябрь","Ноябрь","Декабрь"},0),AE10))</f>
        <v>46325</v>
      </c>
      <c r="AF11" s="9">
        <f>IF(AF10="","",DATE($B$4,MATCH($B$3,{"Январь","Февраль","Март","Апрель","Май","Июнь","Июль","Август","Сентябрь","Октябрь","Ноябрь","Декабрь"},0),AF10))</f>
        <v>46326</v>
      </c>
    </row>
    <row r="12" spans="1:32" ht="21.95" customHeight="1">
      <c r="A12" s="20"/>
      <c r="B12" s="8" t="str">
        <f t="shared" ref="B12:AF12" si="0">IF(B10="","",TEXT(B11,"ddd"))</f>
        <v>ddd</v>
      </c>
      <c r="C12" s="8" t="str">
        <f t="shared" si="0"/>
        <v>ddd</v>
      </c>
      <c r="D12" s="8" t="str">
        <f t="shared" si="0"/>
        <v>ddd</v>
      </c>
      <c r="E12" s="8" t="str">
        <f t="shared" si="0"/>
        <v>ddd</v>
      </c>
      <c r="F12" s="8" t="str">
        <f t="shared" si="0"/>
        <v>ddd</v>
      </c>
      <c r="G12" s="8" t="str">
        <f t="shared" si="0"/>
        <v>ddd</v>
      </c>
      <c r="H12" s="8" t="str">
        <f t="shared" si="0"/>
        <v>ddd</v>
      </c>
      <c r="I12" s="8" t="str">
        <f t="shared" si="0"/>
        <v>ddd</v>
      </c>
      <c r="J12" s="8" t="str">
        <f t="shared" si="0"/>
        <v>ddd</v>
      </c>
      <c r="K12" s="8" t="str">
        <f t="shared" si="0"/>
        <v>ddd</v>
      </c>
      <c r="L12" s="8" t="str">
        <f t="shared" si="0"/>
        <v>ddd</v>
      </c>
      <c r="M12" s="8" t="str">
        <f t="shared" si="0"/>
        <v>ddd</v>
      </c>
      <c r="N12" s="8" t="str">
        <f t="shared" si="0"/>
        <v>ddd</v>
      </c>
      <c r="O12" s="8" t="str">
        <f t="shared" si="0"/>
        <v>ddd</v>
      </c>
      <c r="P12" s="8" t="str">
        <f t="shared" si="0"/>
        <v>ddd</v>
      </c>
      <c r="Q12" s="8" t="str">
        <f t="shared" si="0"/>
        <v>ddd</v>
      </c>
      <c r="R12" s="8" t="str">
        <f t="shared" si="0"/>
        <v>ddd</v>
      </c>
      <c r="S12" s="8" t="str">
        <f t="shared" si="0"/>
        <v>ddd</v>
      </c>
      <c r="T12" s="8" t="str">
        <f t="shared" si="0"/>
        <v>ddd</v>
      </c>
      <c r="U12" s="8" t="str">
        <f t="shared" si="0"/>
        <v>ddd</v>
      </c>
      <c r="V12" s="8" t="str">
        <f t="shared" si="0"/>
        <v>ddd</v>
      </c>
      <c r="W12" s="8" t="str">
        <f t="shared" si="0"/>
        <v>ddd</v>
      </c>
      <c r="X12" s="8" t="str">
        <f t="shared" si="0"/>
        <v>ddd</v>
      </c>
      <c r="Y12" s="8" t="str">
        <f t="shared" si="0"/>
        <v>ddd</v>
      </c>
      <c r="Z12" s="8" t="str">
        <f t="shared" si="0"/>
        <v>ddd</v>
      </c>
      <c r="AA12" s="8" t="str">
        <f t="shared" si="0"/>
        <v>ddd</v>
      </c>
      <c r="AB12" s="8" t="str">
        <f t="shared" si="0"/>
        <v>ddd</v>
      </c>
      <c r="AC12" s="8" t="str">
        <f t="shared" si="0"/>
        <v>ddd</v>
      </c>
      <c r="AD12" s="8" t="str">
        <f t="shared" si="0"/>
        <v>ddd</v>
      </c>
      <c r="AE12" s="8" t="str">
        <f t="shared" si="0"/>
        <v>ddd</v>
      </c>
      <c r="AF12" s="8" t="str">
        <f t="shared" si="0"/>
        <v>ddd</v>
      </c>
    </row>
    <row r="13" spans="1:32">
      <c r="A13" s="10" t="s">
        <v>16</v>
      </c>
      <c r="B13" s="11">
        <v>8</v>
      </c>
      <c r="C13" s="11">
        <v>8</v>
      </c>
      <c r="D13" s="11">
        <v>0</v>
      </c>
      <c r="E13" s="11">
        <v>0</v>
      </c>
      <c r="F13" s="11">
        <v>8</v>
      </c>
      <c r="G13" s="11">
        <v>8</v>
      </c>
      <c r="H13" s="11">
        <v>8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</row>
    <row r="14" spans="1:32">
      <c r="A14" s="10" t="s">
        <v>17</v>
      </c>
      <c r="B14" s="11">
        <v>2</v>
      </c>
      <c r="C14" s="11">
        <v>2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</row>
    <row r="15" spans="1:32">
      <c r="A15" s="10" t="s">
        <v>18</v>
      </c>
      <c r="B15" s="11">
        <v>10</v>
      </c>
      <c r="C15" s="11">
        <v>1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</row>
    <row r="16" spans="1:32" ht="24" customHeight="1">
      <c r="A16" s="10" t="s">
        <v>19</v>
      </c>
      <c r="B16" s="11" t="s">
        <v>20</v>
      </c>
      <c r="C16" s="11" t="s">
        <v>20</v>
      </c>
      <c r="D16" s="11" t="s">
        <v>21</v>
      </c>
      <c r="E16" s="11" t="s">
        <v>21</v>
      </c>
      <c r="F16" s="11" t="s">
        <v>21</v>
      </c>
      <c r="G16" s="11" t="s">
        <v>21</v>
      </c>
      <c r="H16" s="11" t="s">
        <v>21</v>
      </c>
      <c r="I16" s="11" t="s">
        <v>21</v>
      </c>
      <c r="J16" s="11" t="s">
        <v>21</v>
      </c>
      <c r="K16" s="11" t="s">
        <v>21</v>
      </c>
      <c r="L16" s="11" t="s">
        <v>21</v>
      </c>
      <c r="M16" s="11" t="s">
        <v>21</v>
      </c>
      <c r="N16" s="11" t="s">
        <v>21</v>
      </c>
      <c r="O16" s="11" t="s">
        <v>21</v>
      </c>
      <c r="P16" s="11" t="s">
        <v>21</v>
      </c>
      <c r="Q16" s="11" t="s">
        <v>21</v>
      </c>
      <c r="R16" s="11" t="s">
        <v>21</v>
      </c>
      <c r="S16" s="11" t="s">
        <v>21</v>
      </c>
      <c r="T16" s="11" t="s">
        <v>21</v>
      </c>
      <c r="U16" s="11" t="s">
        <v>21</v>
      </c>
      <c r="V16" s="11" t="s">
        <v>21</v>
      </c>
      <c r="W16" s="11" t="s">
        <v>21</v>
      </c>
      <c r="X16" s="11" t="s">
        <v>21</v>
      </c>
      <c r="Y16" s="11" t="s">
        <v>21</v>
      </c>
      <c r="Z16" s="11" t="s">
        <v>21</v>
      </c>
      <c r="AA16" s="11" t="s">
        <v>21</v>
      </c>
      <c r="AB16" s="11" t="s">
        <v>21</v>
      </c>
      <c r="AC16" s="11" t="s">
        <v>21</v>
      </c>
      <c r="AD16" s="11" t="s">
        <v>21</v>
      </c>
      <c r="AE16" s="11" t="s">
        <v>21</v>
      </c>
      <c r="AF16" s="11" t="s">
        <v>21</v>
      </c>
    </row>
    <row r="17" spans="1:32">
      <c r="A17" s="10" t="s">
        <v>22</v>
      </c>
      <c r="B17" s="12">
        <f t="shared" ref="B17:AF17" si="1">IF(B10="","",B13*$F$6+IF(B16="☑",B14*$F$6*1.5+B15*$F$6*2,0))</f>
        <v>22897.727272727272</v>
      </c>
      <c r="C17" s="12">
        <f t="shared" si="1"/>
        <v>9602.2727272727279</v>
      </c>
      <c r="D17" s="12">
        <f t="shared" si="1"/>
        <v>0</v>
      </c>
      <c r="E17" s="12">
        <f t="shared" si="1"/>
        <v>0</v>
      </c>
      <c r="F17" s="12">
        <f t="shared" si="1"/>
        <v>5909.090909090909</v>
      </c>
      <c r="G17" s="12">
        <f t="shared" si="1"/>
        <v>5909.090909090909</v>
      </c>
      <c r="H17" s="12">
        <f t="shared" si="1"/>
        <v>5909.090909090909</v>
      </c>
      <c r="I17" s="12">
        <f t="shared" si="1"/>
        <v>0</v>
      </c>
      <c r="J17" s="12">
        <f t="shared" si="1"/>
        <v>0</v>
      </c>
      <c r="K17" s="12">
        <f t="shared" si="1"/>
        <v>0</v>
      </c>
      <c r="L17" s="12">
        <f t="shared" si="1"/>
        <v>0</v>
      </c>
      <c r="M17" s="12">
        <f t="shared" si="1"/>
        <v>0</v>
      </c>
      <c r="N17" s="12">
        <f t="shared" si="1"/>
        <v>0</v>
      </c>
      <c r="O17" s="12">
        <f t="shared" si="1"/>
        <v>0</v>
      </c>
      <c r="P17" s="12">
        <f t="shared" si="1"/>
        <v>0</v>
      </c>
      <c r="Q17" s="12">
        <f t="shared" si="1"/>
        <v>0</v>
      </c>
      <c r="R17" s="12">
        <f t="shared" si="1"/>
        <v>0</v>
      </c>
      <c r="S17" s="12">
        <f t="shared" si="1"/>
        <v>0</v>
      </c>
      <c r="T17" s="12">
        <f t="shared" si="1"/>
        <v>0</v>
      </c>
      <c r="U17" s="12">
        <f t="shared" si="1"/>
        <v>0</v>
      </c>
      <c r="V17" s="12">
        <f t="shared" si="1"/>
        <v>0</v>
      </c>
      <c r="W17" s="12">
        <f t="shared" si="1"/>
        <v>0</v>
      </c>
      <c r="X17" s="12">
        <f t="shared" si="1"/>
        <v>0</v>
      </c>
      <c r="Y17" s="12">
        <f t="shared" si="1"/>
        <v>0</v>
      </c>
      <c r="Z17" s="12">
        <f t="shared" si="1"/>
        <v>0</v>
      </c>
      <c r="AA17" s="12">
        <f t="shared" si="1"/>
        <v>0</v>
      </c>
      <c r="AB17" s="12">
        <f t="shared" si="1"/>
        <v>0</v>
      </c>
      <c r="AC17" s="12">
        <f t="shared" si="1"/>
        <v>0</v>
      </c>
      <c r="AD17" s="12">
        <f t="shared" si="1"/>
        <v>0</v>
      </c>
      <c r="AE17" s="12">
        <f t="shared" si="1"/>
        <v>0</v>
      </c>
      <c r="AF17" s="12">
        <f t="shared" si="1"/>
        <v>0</v>
      </c>
    </row>
    <row r="19" spans="1:32">
      <c r="A19" s="3" t="s">
        <v>23</v>
      </c>
      <c r="B19" s="20"/>
      <c r="C19" s="20"/>
      <c r="D19" s="20"/>
      <c r="E19" s="1" t="s">
        <v>24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spans="1:32">
      <c r="A20" s="4" t="s">
        <v>16</v>
      </c>
      <c r="B20" s="13">
        <f>SUM(B13:AF13)</f>
        <v>40</v>
      </c>
      <c r="C20" s="20"/>
      <c r="D20" s="20"/>
      <c r="E20" s="21" t="s">
        <v>25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spans="1:32">
      <c r="A21" s="4" t="s">
        <v>17</v>
      </c>
      <c r="B21" s="13">
        <f>SUMIF(B16:AF16,"☑",B14:AF14)</f>
        <v>4</v>
      </c>
      <c r="C21" s="20"/>
      <c r="D21" s="20"/>
      <c r="E21" s="21" t="s">
        <v>26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spans="1:32">
      <c r="A22" s="4" t="s">
        <v>18</v>
      </c>
      <c r="B22" s="13">
        <f>SUMIF(B16:AF16,"☑",B15:AF15)</f>
        <v>11</v>
      </c>
      <c r="C22" s="20"/>
      <c r="D22" s="20"/>
      <c r="E22" s="21" t="s">
        <v>27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spans="1:32">
      <c r="A23" s="3" t="s">
        <v>28</v>
      </c>
      <c r="B23" s="14">
        <f>B32</f>
        <v>50227.272727272728</v>
      </c>
      <c r="C23" s="20"/>
      <c r="D23" s="20"/>
      <c r="E23" s="21" t="s">
        <v>29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>
      <c r="A24" s="20"/>
      <c r="B24" s="20"/>
      <c r="C24" s="20"/>
      <c r="D24" s="20"/>
      <c r="E24" s="21" t="s">
        <v>30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>
      <c r="A25" s="20"/>
      <c r="B25" s="20"/>
      <c r="C25" s="20"/>
      <c r="D25" s="20"/>
      <c r="E25" s="21" t="s">
        <v>31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>
      <c r="A26" s="22" t="s">
        <v>32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ht="15.75">
      <c r="A27" s="15" t="s">
        <v>33</v>
      </c>
      <c r="B27" s="20"/>
      <c r="C27" s="20"/>
      <c r="D27" s="20"/>
      <c r="E27" s="1" t="s">
        <v>34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spans="1:32">
      <c r="A28" s="16" t="s">
        <v>35</v>
      </c>
      <c r="B28" s="17">
        <f>B20*$F$6</f>
        <v>29545.454545454544</v>
      </c>
      <c r="C28" s="20"/>
      <c r="D28" s="20"/>
      <c r="E28" s="21" t="s">
        <v>36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>
      <c r="A29" s="16" t="s">
        <v>37</v>
      </c>
      <c r="B29" s="17">
        <f>B21*$F$6*1.5</f>
        <v>4431.818181818182</v>
      </c>
      <c r="C29" s="20"/>
      <c r="D29" s="20"/>
      <c r="E29" s="21" t="s">
        <v>38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>
      <c r="A30" s="16" t="s">
        <v>39</v>
      </c>
      <c r="B30" s="17">
        <f>B22*$F$6*2</f>
        <v>16250</v>
      </c>
      <c r="C30" s="20"/>
      <c r="D30" s="20"/>
      <c r="E30" s="21" t="s">
        <v>40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>
      <c r="A31" s="18" t="s">
        <v>41</v>
      </c>
      <c r="B31" s="19">
        <f>B29+B30</f>
        <v>20681.818181818184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>
      <c r="A32" s="18" t="s">
        <v>42</v>
      </c>
      <c r="B32" s="19">
        <f>B28+B31</f>
        <v>50227.272727272728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45" spans="1:8">
      <c r="A45" s="21"/>
      <c r="B45" s="21"/>
      <c r="C45" s="21"/>
      <c r="D45" s="21"/>
      <c r="E45" s="21"/>
      <c r="F45" s="21"/>
      <c r="G45" s="21"/>
      <c r="H45" s="21"/>
    </row>
    <row r="46" spans="1:8">
      <c r="A46" s="21"/>
      <c r="B46" s="21"/>
      <c r="C46" s="21"/>
      <c r="D46" s="21"/>
      <c r="E46" s="21"/>
      <c r="F46" s="21"/>
      <c r="G46" s="21"/>
      <c r="H46" s="21"/>
    </row>
    <row r="47" spans="1:8">
      <c r="A47" s="21"/>
      <c r="B47" s="21"/>
      <c r="C47" s="21"/>
      <c r="D47" s="21"/>
      <c r="E47" s="21"/>
      <c r="F47" s="21"/>
      <c r="G47" s="21"/>
      <c r="H47" s="21"/>
    </row>
    <row r="48" spans="1:8">
      <c r="A48" s="21"/>
      <c r="B48" s="21"/>
      <c r="C48" s="21"/>
      <c r="D48" s="21"/>
      <c r="E48" s="21"/>
      <c r="F48" s="21"/>
      <c r="G48" s="21"/>
      <c r="H48" s="21"/>
    </row>
    <row r="49" spans="1:8">
      <c r="A49" s="21"/>
      <c r="B49" s="21"/>
      <c r="C49" s="21"/>
      <c r="D49" s="21"/>
      <c r="E49" s="21"/>
      <c r="F49" s="21"/>
      <c r="G49" s="21"/>
      <c r="H49" s="21"/>
    </row>
  </sheetData>
  <mergeCells count="16">
    <mergeCell ref="A1:H1"/>
    <mergeCell ref="E20:AF20"/>
    <mergeCell ref="A48:H48"/>
    <mergeCell ref="E30:AF30"/>
    <mergeCell ref="E29:AF29"/>
    <mergeCell ref="E24:AF24"/>
    <mergeCell ref="E25:AF25"/>
    <mergeCell ref="E28:AF28"/>
    <mergeCell ref="E23:AF23"/>
    <mergeCell ref="E22:AF22"/>
    <mergeCell ref="E21:AF21"/>
    <mergeCell ref="A49:H49"/>
    <mergeCell ref="A26:AF26"/>
    <mergeCell ref="A47:H47"/>
    <mergeCell ref="A45:H45"/>
    <mergeCell ref="A46:H46"/>
  </mergeCells>
  <conditionalFormatting sqref="F8:F38">
    <cfRule type="expression" dxfId="34" priority="1">
      <formula>F8="☑"</formula>
    </cfRule>
    <cfRule type="expression" dxfId="33" priority="2">
      <formula>F8="☐"</formula>
    </cfRule>
  </conditionalFormatting>
  <conditionalFormatting sqref="B16:AF16">
    <cfRule type="expression" dxfId="32" priority="3">
      <formula>B16="☑"</formula>
    </cfRule>
    <cfRule type="expression" dxfId="31" priority="4">
      <formula>B16="☐"</formula>
    </cfRule>
  </conditionalFormatting>
  <conditionalFormatting sqref="B10:B17">
    <cfRule type="expression" dxfId="30" priority="5">
      <formula>B$10=""</formula>
    </cfRule>
  </conditionalFormatting>
  <conditionalFormatting sqref="C10:C17">
    <cfRule type="expression" dxfId="29" priority="6">
      <formula>C$10=""</formula>
    </cfRule>
  </conditionalFormatting>
  <conditionalFormatting sqref="D10:D17">
    <cfRule type="expression" dxfId="28" priority="7">
      <formula>D$10=""</formula>
    </cfRule>
  </conditionalFormatting>
  <conditionalFormatting sqref="E10:E17">
    <cfRule type="expression" dxfId="27" priority="8">
      <formula>E$10=""</formula>
    </cfRule>
  </conditionalFormatting>
  <conditionalFormatting sqref="F10:F17">
    <cfRule type="expression" dxfId="26" priority="9">
      <formula>F$10=""</formula>
    </cfRule>
  </conditionalFormatting>
  <conditionalFormatting sqref="G10:G17">
    <cfRule type="expression" dxfId="25" priority="10">
      <formula>G$10=""</formula>
    </cfRule>
  </conditionalFormatting>
  <conditionalFormatting sqref="H10:H17">
    <cfRule type="expression" dxfId="24" priority="11">
      <formula>H$10=""</formula>
    </cfRule>
  </conditionalFormatting>
  <conditionalFormatting sqref="I10:I17">
    <cfRule type="expression" dxfId="23" priority="12">
      <formula>I$10=""</formula>
    </cfRule>
  </conditionalFormatting>
  <conditionalFormatting sqref="J10:J17">
    <cfRule type="expression" dxfId="22" priority="13">
      <formula>J$10=""</formula>
    </cfRule>
  </conditionalFormatting>
  <conditionalFormatting sqref="K10:K17">
    <cfRule type="expression" dxfId="21" priority="14">
      <formula>K$10=""</formula>
    </cfRule>
  </conditionalFormatting>
  <conditionalFormatting sqref="L10:L17">
    <cfRule type="expression" dxfId="20" priority="15">
      <formula>L$10=""</formula>
    </cfRule>
  </conditionalFormatting>
  <conditionalFormatting sqref="M10:M17">
    <cfRule type="expression" dxfId="19" priority="16">
      <formula>M$10=""</formula>
    </cfRule>
  </conditionalFormatting>
  <conditionalFormatting sqref="N10:N17">
    <cfRule type="expression" dxfId="18" priority="17">
      <formula>N$10=""</formula>
    </cfRule>
  </conditionalFormatting>
  <conditionalFormatting sqref="O10:O17">
    <cfRule type="expression" dxfId="17" priority="18">
      <formula>O$10=""</formula>
    </cfRule>
  </conditionalFormatting>
  <conditionalFormatting sqref="P10:P17">
    <cfRule type="expression" dxfId="16" priority="19">
      <formula>P$10=""</formula>
    </cfRule>
  </conditionalFormatting>
  <conditionalFormatting sqref="Q10:Q17">
    <cfRule type="expression" dxfId="15" priority="20">
      <formula>Q$10=""</formula>
    </cfRule>
  </conditionalFormatting>
  <conditionalFormatting sqref="R10:R17">
    <cfRule type="expression" dxfId="14" priority="21">
      <formula>R$10=""</formula>
    </cfRule>
  </conditionalFormatting>
  <conditionalFormatting sqref="S10:S17">
    <cfRule type="expression" dxfId="13" priority="22">
      <formula>S$10=""</formula>
    </cfRule>
  </conditionalFormatting>
  <conditionalFormatting sqref="T10:T17">
    <cfRule type="expression" dxfId="12" priority="23">
      <formula>T$10=""</formula>
    </cfRule>
  </conditionalFormatting>
  <conditionalFormatting sqref="U10:U17">
    <cfRule type="expression" dxfId="11" priority="24">
      <formula>U$10=""</formula>
    </cfRule>
  </conditionalFormatting>
  <conditionalFormatting sqref="V10:V17">
    <cfRule type="expression" dxfId="10" priority="25">
      <formula>V$10=""</formula>
    </cfRule>
  </conditionalFormatting>
  <conditionalFormatting sqref="W10:W17">
    <cfRule type="expression" dxfId="9" priority="26">
      <formula>W$10=""</formula>
    </cfRule>
  </conditionalFormatting>
  <conditionalFormatting sqref="X10:X17">
    <cfRule type="expression" dxfId="8" priority="27">
      <formula>X$10=""</formula>
    </cfRule>
  </conditionalFormatting>
  <conditionalFormatting sqref="Y10:Y17">
    <cfRule type="expression" dxfId="7" priority="28">
      <formula>Y$10=""</formula>
    </cfRule>
  </conditionalFormatting>
  <conditionalFormatting sqref="Z10:Z17">
    <cfRule type="expression" dxfId="6" priority="29">
      <formula>Z$10=""</formula>
    </cfRule>
  </conditionalFormatting>
  <conditionalFormatting sqref="AA10:AA17">
    <cfRule type="expression" dxfId="5" priority="30">
      <formula>AA$10=""</formula>
    </cfRule>
  </conditionalFormatting>
  <conditionalFormatting sqref="AB10:AB17">
    <cfRule type="expression" dxfId="4" priority="31">
      <formula>AB$10=""</formula>
    </cfRule>
  </conditionalFormatting>
  <conditionalFormatting sqref="AC10:AC17">
    <cfRule type="expression" dxfId="3" priority="32">
      <formula>AC$10=""</formula>
    </cfRule>
  </conditionalFormatting>
  <conditionalFormatting sqref="AD10:AD17">
    <cfRule type="expression" dxfId="2" priority="33">
      <formula>AD$10=""</formula>
    </cfRule>
  </conditionalFormatting>
  <conditionalFormatting sqref="AE10:AE17">
    <cfRule type="expression" dxfId="1" priority="34">
      <formula>AE$10=""</formula>
    </cfRule>
  </conditionalFormatting>
  <conditionalFormatting sqref="AF10:AF17">
    <cfRule type="expression" dxfId="0" priority="35">
      <formula>AF$10=""</formula>
    </cfRule>
  </conditionalFormatting>
  <dataValidations count="2">
    <dataValidation type="list" sqref="F8:F38 B16:AF16" xr:uid="{00000000-0002-0000-0000-000000000000}">
      <formula1>"☐,☑"</formula1>
    </dataValidation>
    <dataValidation type="list" sqref="B3" xr:uid="{00000000-0002-0000-0000-000001000000}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2026-10-04T09:42:16Z</dcterms:created>
  <dcterms:modified xsi:type="dcterms:W3CDTF">2026-10-07T18:20:39Z</dcterms:modified>
  <cp:category/>
  <cp:contentStatus/>
</cp:coreProperties>
</file>